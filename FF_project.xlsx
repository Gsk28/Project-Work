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5"/>
    <sheet state="visible" name="Income statement" sheetId="2" r:id="rId6"/>
    <sheet state="visible" name="Ratio Analysis" sheetId="3" r:id="rId7"/>
    <sheet state="visible" name="SIP" sheetId="4" r:id="rId8"/>
  </sheets>
  <definedNames/>
  <calcPr/>
</workbook>
</file>

<file path=xl/sharedStrings.xml><?xml version="1.0" encoding="utf-8"?>
<sst xmlns="http://schemas.openxmlformats.org/spreadsheetml/2006/main" count="192" uniqueCount="184">
  <si>
    <t>Balance Sheet (in Crs)</t>
  </si>
  <si>
    <t>2025(%)</t>
  </si>
  <si>
    <t>2024(%)</t>
  </si>
  <si>
    <t>2023(%)</t>
  </si>
  <si>
    <t>2022(%)</t>
  </si>
  <si>
    <t>2021(%)</t>
  </si>
  <si>
    <t>Total Current Assets</t>
  </si>
  <si>
    <t>Inventories</t>
  </si>
  <si>
    <t>Trade Receivables</t>
  </si>
  <si>
    <t>Cash And Cash Equivalents</t>
  </si>
  <si>
    <t>Other Current Assets</t>
  </si>
  <si>
    <t>Total Non-Current Assets</t>
  </si>
  <si>
    <t>Fixed Assets</t>
  </si>
  <si>
    <t>Tangible Assets</t>
  </si>
  <si>
    <t>Intangible Assets</t>
  </si>
  <si>
    <t>Capital Work-In-Progress</t>
  </si>
  <si>
    <t>Deferred Tax Assets</t>
  </si>
  <si>
    <t>Other Non-Current Assets</t>
  </si>
  <si>
    <t>Total Assets</t>
  </si>
  <si>
    <t>Total Current Liabilities</t>
  </si>
  <si>
    <t>Trade Payables</t>
  </si>
  <si>
    <t>Other Current Liabilities</t>
  </si>
  <si>
    <t>Short Term Provisions</t>
  </si>
  <si>
    <t>Total Non-Current Liabilities</t>
  </si>
  <si>
    <t>Other Long Term Liabilities</t>
  </si>
  <si>
    <t>Long Term Provisions</t>
  </si>
  <si>
    <t>Total Liabilities</t>
  </si>
  <si>
    <t>Total Shareholders Funds</t>
  </si>
  <si>
    <t>Equity Share Capital</t>
  </si>
  <si>
    <t>Reserves and Surplus</t>
  </si>
  <si>
    <t>Line Item</t>
  </si>
  <si>
    <t>2025 (%)</t>
  </si>
  <si>
    <t>Revenue From Operations [Gross]</t>
  </si>
  <si>
    <t>Revenue From Operations [Net]</t>
  </si>
  <si>
    <t>Total Operating Revenues</t>
  </si>
  <si>
    <t>Other Income</t>
  </si>
  <si>
    <t>Total Revenue</t>
  </si>
  <si>
    <t>Cost Of Materials Consumed</t>
  </si>
  <si>
    <t>Purchase Of Stock-In Trade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</si>
  <si>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</si>
  <si>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</si>
  <si>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</si>
  <si>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</si>
  <si>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</si>
  <si>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</si>
  <si>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Profit/Loss Before Exceptional, ExtraOrdinary Items And Tax</t>
  </si>
  <si>
    <t>Profit/Loss Before Tax</t>
  </si>
  <si>
    <t>Current Tax</t>
  </si>
  <si>
    <t>Deferred Tax</t>
  </si>
  <si>
    <t>Tax For Earlier Years</t>
  </si>
  <si>
    <t>Total Tax Expenses</t>
  </si>
  <si>
    <t>Profit/Loss After Tax And Before ExtraOrdinary Items</t>
  </si>
  <si>
    <t>Profit/Loss From Continuing Operations</t>
  </si>
  <si>
    <t>Profit/Loss For The Period</t>
  </si>
  <si>
    <t>Basic EPS (Rs.)</t>
  </si>
  <si>
    <t>Diluted EPS (Rs.)</t>
  </si>
  <si>
    <t>Ratio</t>
  </si>
  <si>
    <t>Current Ratio = CA/CL</t>
  </si>
  <si>
    <t>3.39=4,765.11 / 1407.19</t>
  </si>
  <si>
    <t>2.42=3245.84 /1,342.72</t>
  </si>
  <si>
    <t>2.51=3,030.11 /1,206.02</t>
  </si>
  <si>
    <t>3.2=3,055.04/1,203.19</t>
  </si>
  <si>
    <t>3.41=3,518.52/1,030.86</t>
  </si>
  <si>
    <t>Quick Ratio = (CA-Inventories)/CL</t>
  </si>
  <si>
    <t>2.76=(4,765.11 - 882.04)/1,407.19</t>
  </si>
  <si>
    <t>1.96=(3,245.84 - 619.58)/1,342.72</t>
  </si>
  <si>
    <t>1.97=(3,030.11 - 648.85)/1,206.02</t>
  </si>
  <si>
    <t>2.63=(3,055.04−687.82)/1,203.19</t>
  </si>
  <si>
    <t>2.72=(3,518.52−717.59)/1,030.86</t>
  </si>
  <si>
    <t>Net Working Capital</t>
  </si>
  <si>
    <t>3357.92=4,765.11 - 1,407.19</t>
  </si>
  <si>
    <t>1342.72=3,245.84 - 1,342.72</t>
  </si>
  <si>
    <t>1824.09=3,030.11 - 1,206.02</t>
  </si>
  <si>
    <t>1851.85=3,055.04−1,203.19</t>
  </si>
  <si>
    <t>2487.66=3,518.52−1,030.86</t>
  </si>
  <si>
    <t>Gross Profit Margin(%)</t>
  </si>
  <si>
    <t>47.69=(6,684.73 - 3,496.78)/6,684.73</t>
  </si>
  <si>
    <t>47.18=(6,097.18 - 3,220.61)/6,097.18</t>
  </si>
  <si>
    <t>43.05=(5,502.88 - 3,046.22)/5,502.88</t>
  </si>
  <si>
    <t>44.57=(4,996.48−2,727.17)/4,996.48</t>
  </si>
  <si>
    <t>45.65=(4,390.92−2,342.34)/4,390.92</t>
  </si>
  <si>
    <t>Operating Profit Margin (%)= EBIT/sales x 100</t>
  </si>
  <si>
    <t>29.61=1,898.38 /6,409.15</t>
  </si>
  <si>
    <t>27.87=1,630.20 /5,848.91</t>
  </si>
  <si>
    <t>24.11=$1,289.81/5,348.73</t>
  </si>
  <si>
    <t>22.33=1,098.83/4,919.27</t>
  </si>
  <si>
    <t>21.9=944.23/4,310.02</t>
  </si>
  <si>
    <t>Net Profit Margin (%)= NI/Sales x 100</t>
  </si>
  <si>
    <t>22.06=1,414.44 / 6,409.15</t>
  </si>
  <si>
    <t>20.53=1,201.22 / 5,848.91</t>
  </si>
  <si>
    <t>17.75=949.41 / 5,348.73</t>
  </si>
  <si>
    <t>16.23=798.70/4,919.27</t>
  </si>
  <si>
    <t>16.02=690.69/4,310.02</t>
  </si>
  <si>
    <t>Return on Assets (%) = NI/Total assets x 100</t>
  </si>
  <si>
    <t>23.9=1,414 /((5917.3+ 5193.4)/2)</t>
  </si>
  <si>
    <t>23.12=1201.2 /( 5193.49 + 4555.5)/2)</t>
  </si>
  <si>
    <t>20.84=949.4/(4555.5 + 4224.1)/2)</t>
  </si>
  <si>
    <t>18.9=798.70/((4,224.12+3,840.45)/2)</t>
  </si>
  <si>
    <t>17.98=690.69/3,840.45</t>
  </si>
  <si>
    <t>Return on Common Equity(%)= NI/Common Equity</t>
  </si>
  <si>
    <t>33.41%=1414.4/((4233.1+3698.8)/2)</t>
  </si>
  <si>
    <t>32.48%=1201.2/((3698.8+3188.5)/2)</t>
  </si>
  <si>
    <t>31.61%=949.4/((3188.5+2819.7)/2)</t>
  </si>
  <si>
    <t>29.46%=798.70/((2,819.79+2,602.16)/2)</t>
  </si>
  <si>
    <t>27.67%=690.69/2,602.16</t>
  </si>
  <si>
    <t>Total Debt Ratio%</t>
  </si>
  <si>
    <t>23.78=1,407.19/5,917.31</t>
  </si>
  <si>
    <t>25.85=1,342.72/5,193.49</t>
  </si>
  <si>
    <t>29.99=1,206.02/4,555.51</t>
  </si>
  <si>
    <t>32.51=1,203.19/4,224.12</t>
  </si>
  <si>
    <t>32.18=1,030.86/3,840.45</t>
  </si>
  <si>
    <t>Long term Debt/Equity (X)</t>
  </si>
  <si>
    <t>0.05=276.97/4,233.15</t>
  </si>
  <si>
    <t>0.02=151.88/3,698.89</t>
  </si>
  <si>
    <t>0.1=160.95/3,188.54</t>
  </si>
  <si>
    <t>0.1=201.14/2,819.79</t>
  </si>
  <si>
    <t>0.1=207.43/2,602.16</t>
  </si>
  <si>
    <t>Interest Coverage ratio</t>
  </si>
  <si>
    <t>166.09=1,898.38/11.43</t>
  </si>
  <si>
    <t>130.94=1,630.20/12.45</t>
  </si>
  <si>
    <t>80.7=1,289.81/15.99</t>
  </si>
  <si>
    <t>57.5=1,098.83/19.10</t>
  </si>
  <si>
    <t>51.7=944.23/18.28</t>
  </si>
  <si>
    <t>Cash Coverage Ratio</t>
  </si>
  <si>
    <t xml:space="preserve"> 172.37x=(1,898.38+71.80)/11.43</t>
  </si>
  <si>
    <t>136.66x=(1,630.20+71.17)/12.45</t>
  </si>
  <si>
    <t>85.03x=(1,289.81+69.97)/15.99</t>
  </si>
  <si>
    <t>61.09x=(1,098.83+66.10)/19.10</t>
  </si>
  <si>
    <t>62.77x=(944.23+58.13)/18.28</t>
  </si>
  <si>
    <t>Inventory Turnover Ratio= sales/avg inventories</t>
  </si>
  <si>
    <t>78.33=((882+619.5)/2)/3496.7</t>
  </si>
  <si>
    <t>71.85=((619.5+648.8)/2)/3220</t>
  </si>
  <si>
    <t>82=((648.85+687.8)/2)/3046.2</t>
  </si>
  <si>
    <t>96.6=((687.82+717.59)/2)/2,727.17×365</t>
  </si>
  <si>
    <t>95.1=717.59/2,342.34×365</t>
  </si>
  <si>
    <t>Accounts Receivable Turnover Ratio</t>
  </si>
  <si>
    <t>18.33=6409.15/((380.23+319.1)/2)</t>
  </si>
  <si>
    <t>18.33=5848.9/((319.1+316.9)/2)</t>
  </si>
  <si>
    <t>17.68=5348.7/((316.95+288.16)/2)</t>
  </si>
  <si>
    <t>18.29=4,919.27/((288.16+250.21)/2)</t>
  </si>
  <si>
    <t>17.22=4,310.02/250.21</t>
  </si>
  <si>
    <t>Accounts payables Turnover</t>
  </si>
  <si>
    <t>3.52=3496.7/((1027.2+961.5)/2)</t>
  </si>
  <si>
    <t>3.35=3220.6/((961.5+867.4)/2)</t>
  </si>
  <si>
    <t>3.53=3046.2/((867.4+857.1)/2)</t>
  </si>
  <si>
    <t>3.44=2,727.17/((857.16+728.41)/2)</t>
  </si>
  <si>
    <t>3.31=2,342.34/728.41</t>
  </si>
  <si>
    <t>Fixed Asset Turnover Ratio</t>
  </si>
  <si>
    <t>45.65=6409.1/((133.61+147.1)/2)</t>
  </si>
  <si>
    <t>39.74=5848.9/((147.1+130.2)/2)</t>
  </si>
  <si>
    <t>42.5=5348.7/((130.2+123.1)/2)</t>
  </si>
  <si>
    <t>43.51=4,919.27/((123.19+103.31)/2)</t>
  </si>
  <si>
    <t>40.38=4,310.02/103.31</t>
  </si>
  <si>
    <t>Asset Turnover Ratio (%)=sales/total assets</t>
  </si>
  <si>
    <t>1.15=6,409.15/((5,917.31+5,193.49)/2)</t>
  </si>
  <si>
    <t>1.2=5848.9/((5193.4+4555.5)/2)</t>
  </si>
  <si>
    <t>1.22=5,348.73/((4,555.51+4,224.12)/2)</t>
  </si>
  <si>
    <t>1.22=4,919.27/((4,224.12+3,840.45)/2)</t>
  </si>
  <si>
    <t>112.22=4,310.02/3,840.45</t>
  </si>
  <si>
    <t>P/E Ratio</t>
  </si>
  <si>
    <t>Earnings Per Share(Rs.) = NI/Shares outstanding</t>
  </si>
  <si>
    <t>628=1,414.44/2.125</t>
  </si>
  <si>
    <t>539.11=1,201.22/2.125</t>
  </si>
  <si>
    <t>437.38=949.41/2.125</t>
  </si>
  <si>
    <t>348.13=798.70/2.125</t>
  </si>
  <si>
    <t>305.51=690.69/2.125</t>
  </si>
  <si>
    <t>Price/BV (X)</t>
  </si>
  <si>
    <t>Book Value/Share (Rs.) = common stock+retained earnings/shares outstanding</t>
  </si>
  <si>
    <t>1992.07=4,233.15/2.125</t>
  </si>
  <si>
    <t>1740.65=3,698.89/2.125</t>
  </si>
  <si>
    <t>1500.49=3,188.54/2.125</t>
  </si>
  <si>
    <t>1326.96=2,819.79/2.125</t>
  </si>
  <si>
    <t>1224.55=2,602.16/2.125</t>
  </si>
  <si>
    <t>Dividend Payout Ratio(%)</t>
  </si>
  <si>
    <t>Date</t>
  </si>
  <si>
    <t>Open</t>
  </si>
  <si>
    <t xml:space="preserve">Units bought </t>
  </si>
  <si>
    <t>19-07-2021</t>
  </si>
  <si>
    <t>DIVIDEND</t>
  </si>
  <si>
    <t>23-07-2023</t>
  </si>
  <si>
    <t>19-07-2024</t>
  </si>
  <si>
    <t>25-07-2025</t>
  </si>
  <si>
    <t>total</t>
  </si>
  <si>
    <t>Evaluation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</si>
</sst>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1">
    <font>
      <sz val="10.0"/>
      <color rgb="FF000000"/>
      <name val="Arial"/>
      <scheme val="minor"/>
    </font>
    <font>
      <b/>
      <color theme="1"/>
      <name val="Cambria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sz val="10.0"/>
      <color rgb="FF000000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2" fontId="7" numFmtId="0" xfId="0" applyFill="1" applyFont="1"/>
    <xf borderId="0" fillId="3" fontId="7" numFmtId="0" xfId="0" applyAlignment="1" applyFill="1" applyFont="1">
      <alignment readingOrder="0"/>
    </xf>
    <xf borderId="0" fillId="3" fontId="3" numFmtId="0" xfId="0" applyAlignment="1" applyFont="1">
      <alignment horizontal="right" readingOrder="0" vertical="bottom"/>
    </xf>
    <xf borderId="0" fillId="3" fontId="4" numFmtId="0" xfId="0" applyAlignment="1" applyFont="1">
      <alignment horizontal="right" vertical="bottom"/>
    </xf>
    <xf borderId="0" fillId="3" fontId="7" numFmtId="0" xfId="0" applyFont="1"/>
    <xf borderId="0" fillId="0" fontId="8" numFmtId="0" xfId="0" applyAlignment="1" applyFont="1">
      <alignment vertical="bottom"/>
    </xf>
    <xf borderId="0" fillId="0" fontId="3" numFmtId="12" xfId="0" applyAlignment="1" applyFont="1" applyNumberFormat="1">
      <alignment horizontal="right" readingOrder="0" vertical="bottom"/>
    </xf>
    <xf borderId="0" fillId="0" fontId="9" numFmtId="0" xfId="0" applyAlignment="1" applyFont="1">
      <alignment horizontal="left" readingOrder="0" shrinkToFit="0" wrapText="1"/>
    </xf>
    <xf borderId="0" fillId="0" fontId="3" numFmtId="4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164" xfId="0" applyAlignment="1" applyFont="1" applyNumberFormat="1">
      <alignment horizontal="left" readingOrder="0"/>
    </xf>
    <xf borderId="0" fillId="0" fontId="7" numFmtId="0" xfId="0" applyAlignment="1" applyFont="1">
      <alignment horizontal="right" readingOrder="0"/>
    </xf>
    <xf borderId="0" fillId="0" fontId="7" numFmtId="0" xfId="0" applyFont="1"/>
    <xf borderId="0" fillId="0" fontId="7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12" max="12" width="25.63"/>
  </cols>
  <sheetData>
    <row r="1">
      <c r="A1" s="1" t="s">
        <v>0</v>
      </c>
      <c r="B1" s="1">
        <v>2025.0</v>
      </c>
      <c r="C1" s="1" t="s">
        <v>1</v>
      </c>
      <c r="D1" s="1">
        <v>2024.0</v>
      </c>
      <c r="E1" s="1" t="s">
        <v>2</v>
      </c>
      <c r="F1" s="1">
        <v>2023.0</v>
      </c>
      <c r="G1" s="1" t="s">
        <v>3</v>
      </c>
      <c r="H1" s="1">
        <v>2022.0</v>
      </c>
      <c r="I1" s="1" t="s">
        <v>4</v>
      </c>
      <c r="J1" s="1">
        <v>2021.0</v>
      </c>
      <c r="K1" s="1" t="s">
        <v>5</v>
      </c>
      <c r="L1" s="2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3"/>
    </row>
    <row r="3">
      <c r="A3" s="3" t="s">
        <v>6</v>
      </c>
      <c r="B3" s="4">
        <v>4765.11</v>
      </c>
      <c r="C3" s="5">
        <v>80.53</v>
      </c>
      <c r="D3" s="4">
        <v>3245.84</v>
      </c>
      <c r="E3" s="6">
        <v>62.5</v>
      </c>
      <c r="F3" s="4">
        <v>3025.11</v>
      </c>
      <c r="G3" s="6">
        <v>66.41</v>
      </c>
      <c r="H3" s="4">
        <v>3853.04</v>
      </c>
      <c r="I3" s="6">
        <v>91.22</v>
      </c>
      <c r="J3" s="4">
        <v>3518.52</v>
      </c>
      <c r="K3" s="6">
        <v>91.62</v>
      </c>
      <c r="L3" s="3"/>
      <c r="N3" s="7"/>
      <c r="O3" s="7"/>
      <c r="P3" s="7"/>
      <c r="Q3" s="7"/>
    </row>
    <row r="4">
      <c r="A4" s="3" t="s">
        <v>7</v>
      </c>
      <c r="B4" s="4">
        <v>882.04</v>
      </c>
      <c r="C4" s="5">
        <v>14.91</v>
      </c>
      <c r="D4" s="4">
        <v>619.58</v>
      </c>
      <c r="E4" s="6">
        <v>11.93</v>
      </c>
      <c r="F4" s="4">
        <v>648.85</v>
      </c>
      <c r="G4" s="6">
        <v>14.24</v>
      </c>
      <c r="H4" s="4">
        <v>687.82</v>
      </c>
      <c r="I4" s="6">
        <v>16.28</v>
      </c>
      <c r="J4" s="4">
        <v>717.59</v>
      </c>
      <c r="K4" s="6">
        <v>18.69</v>
      </c>
      <c r="L4" s="3"/>
      <c r="N4" s="7"/>
      <c r="O4" s="7"/>
      <c r="P4" s="7"/>
      <c r="Q4" s="7"/>
    </row>
    <row r="5">
      <c r="A5" s="3" t="s">
        <v>8</v>
      </c>
      <c r="B5" s="4">
        <v>380.23</v>
      </c>
      <c r="C5" s="6">
        <v>6.43</v>
      </c>
      <c r="D5" s="4">
        <v>319.11</v>
      </c>
      <c r="E5" s="6">
        <v>6.14</v>
      </c>
      <c r="F5" s="4">
        <v>316.95</v>
      </c>
      <c r="G5" s="6">
        <v>6.96</v>
      </c>
      <c r="H5" s="4">
        <v>288.16</v>
      </c>
      <c r="I5" s="6">
        <v>6.82</v>
      </c>
      <c r="J5" s="4">
        <v>250.21</v>
      </c>
      <c r="K5" s="6">
        <v>6.52</v>
      </c>
      <c r="L5" s="3"/>
      <c r="M5" s="7"/>
      <c r="N5" s="7"/>
      <c r="O5" s="7"/>
      <c r="P5" s="7"/>
      <c r="Q5" s="7"/>
    </row>
    <row r="6">
      <c r="A6" s="3" t="s">
        <v>9</v>
      </c>
      <c r="B6" s="4">
        <v>1627.92</v>
      </c>
      <c r="C6" s="6">
        <v>27.51</v>
      </c>
      <c r="D6" s="4">
        <v>2134.49</v>
      </c>
      <c r="E6" s="6">
        <v>41.1</v>
      </c>
      <c r="F6" s="4">
        <v>1937.06</v>
      </c>
      <c r="G6" s="6">
        <v>42.52</v>
      </c>
      <c r="H6" s="4">
        <v>2749.22</v>
      </c>
      <c r="I6" s="6">
        <v>65.08</v>
      </c>
      <c r="J6" s="4">
        <v>2409.04</v>
      </c>
      <c r="K6" s="6">
        <v>62.73</v>
      </c>
      <c r="L6" s="3"/>
      <c r="M6" s="7"/>
      <c r="N6" s="7"/>
      <c r="O6" s="7"/>
      <c r="P6" s="7"/>
      <c r="Q6" s="7"/>
    </row>
    <row r="7">
      <c r="A7" s="3" t="s">
        <v>10</v>
      </c>
      <c r="B7" s="4">
        <v>1874.92</v>
      </c>
      <c r="C7" s="6">
        <v>31.69</v>
      </c>
      <c r="D7" s="4">
        <v>172.66</v>
      </c>
      <c r="E7" s="6">
        <v>3.32</v>
      </c>
      <c r="F7" s="4">
        <v>122.25</v>
      </c>
      <c r="G7" s="6">
        <v>2.68</v>
      </c>
      <c r="H7" s="4">
        <v>127.84</v>
      </c>
      <c r="I7" s="6">
        <v>3.03</v>
      </c>
      <c r="J7" s="4">
        <v>136.73</v>
      </c>
      <c r="K7" s="6">
        <v>3.56</v>
      </c>
      <c r="L7" s="3"/>
      <c r="M7" s="7"/>
      <c r="N7" s="7"/>
      <c r="O7" s="7"/>
      <c r="P7" s="7"/>
      <c r="Q7" s="7"/>
    </row>
    <row r="8">
      <c r="A8" s="3"/>
      <c r="B8" s="4"/>
      <c r="C8" s="8"/>
      <c r="D8" s="4"/>
      <c r="E8" s="8"/>
      <c r="F8" s="4"/>
      <c r="G8" s="8"/>
      <c r="H8" s="4"/>
      <c r="I8" s="8"/>
      <c r="J8" s="4"/>
      <c r="K8" s="8"/>
      <c r="L8" s="3"/>
    </row>
    <row r="9">
      <c r="A9" s="3" t="s">
        <v>11</v>
      </c>
      <c r="B9" s="4">
        <v>1152.2</v>
      </c>
      <c r="C9" s="6">
        <v>19.47</v>
      </c>
      <c r="D9" s="4">
        <v>1947.65</v>
      </c>
      <c r="E9" s="6">
        <v>37.5</v>
      </c>
      <c r="F9" s="4">
        <v>1530.4</v>
      </c>
      <c r="G9" s="6">
        <v>33.59</v>
      </c>
      <c r="H9" s="4">
        <v>371.08</v>
      </c>
      <c r="I9" s="6">
        <v>8.78</v>
      </c>
      <c r="J9" s="4">
        <v>321.93</v>
      </c>
      <c r="K9" s="6">
        <v>8.38</v>
      </c>
      <c r="L9" s="3"/>
      <c r="M9" s="7"/>
      <c r="N9" s="7"/>
      <c r="O9" s="7"/>
      <c r="P9" s="7"/>
      <c r="Q9" s="7"/>
    </row>
    <row r="10">
      <c r="A10" s="3" t="s">
        <v>12</v>
      </c>
      <c r="B10" s="4">
        <v>354.06</v>
      </c>
      <c r="C10" s="6">
        <v>5.98</v>
      </c>
      <c r="D10" s="4">
        <v>235.05</v>
      </c>
      <c r="E10" s="6">
        <v>4.53</v>
      </c>
      <c r="F10" s="4">
        <v>240.57</v>
      </c>
      <c r="G10" s="6">
        <v>5.28</v>
      </c>
      <c r="H10" s="4">
        <v>271.66</v>
      </c>
      <c r="I10" s="6">
        <v>6.43</v>
      </c>
      <c r="J10" s="4">
        <v>251.44</v>
      </c>
      <c r="K10" s="6">
        <v>6.55</v>
      </c>
      <c r="L10" s="3"/>
      <c r="M10" s="7"/>
      <c r="N10" s="7"/>
      <c r="O10" s="7"/>
      <c r="P10" s="7"/>
      <c r="Q10" s="7"/>
    </row>
    <row r="11">
      <c r="A11" s="3" t="s">
        <v>13</v>
      </c>
      <c r="B11" s="4">
        <v>329.52</v>
      </c>
      <c r="C11" s="6">
        <v>5.57</v>
      </c>
      <c r="D11" s="4">
        <v>218.28</v>
      </c>
      <c r="E11" s="6">
        <v>4.2</v>
      </c>
      <c r="F11" s="4">
        <v>229.39</v>
      </c>
      <c r="G11" s="6">
        <v>5.04</v>
      </c>
      <c r="H11" s="4">
        <v>262.37</v>
      </c>
      <c r="I11" s="6">
        <v>6.21</v>
      </c>
      <c r="J11" s="4">
        <v>249.61</v>
      </c>
      <c r="K11" s="6">
        <v>6.5</v>
      </c>
      <c r="L11" s="3"/>
      <c r="M11" s="7"/>
      <c r="N11" s="7"/>
      <c r="O11" s="7"/>
      <c r="P11" s="7"/>
      <c r="Q11" s="7"/>
    </row>
    <row r="12">
      <c r="A12" s="3" t="s">
        <v>14</v>
      </c>
      <c r="B12" s="4">
        <v>6.46</v>
      </c>
      <c r="C12" s="6">
        <v>0.11</v>
      </c>
      <c r="D12" s="4">
        <v>6.66</v>
      </c>
      <c r="E12" s="6">
        <v>0.13</v>
      </c>
      <c r="F12" s="4">
        <v>7.52</v>
      </c>
      <c r="G12" s="6">
        <v>0.17</v>
      </c>
      <c r="H12" s="4">
        <v>8.63</v>
      </c>
      <c r="I12" s="6">
        <v>0.2</v>
      </c>
      <c r="J12" s="4">
        <v>1.17</v>
      </c>
      <c r="K12" s="6">
        <v>0.03</v>
      </c>
      <c r="L12" s="3"/>
      <c r="M12" s="7"/>
      <c r="N12" s="7"/>
      <c r="O12" s="7"/>
      <c r="P12" s="7"/>
      <c r="Q12" s="7"/>
    </row>
    <row r="13">
      <c r="A13" s="3" t="s">
        <v>15</v>
      </c>
      <c r="B13" s="4">
        <v>18.08</v>
      </c>
      <c r="C13" s="6">
        <v>0.31</v>
      </c>
      <c r="D13" s="4">
        <v>10.11</v>
      </c>
      <c r="E13" s="6">
        <v>0.19</v>
      </c>
      <c r="F13" s="4">
        <v>3.66</v>
      </c>
      <c r="G13" s="6">
        <v>0.08</v>
      </c>
      <c r="H13" s="4">
        <v>0.66</v>
      </c>
      <c r="I13" s="6">
        <v>0.02</v>
      </c>
      <c r="J13" s="4">
        <v>0.66</v>
      </c>
      <c r="K13" s="6">
        <v>0.02</v>
      </c>
      <c r="L13" s="3"/>
      <c r="M13" s="7"/>
      <c r="N13" s="7"/>
      <c r="O13" s="7"/>
      <c r="P13" s="7"/>
      <c r="Q13" s="7"/>
    </row>
    <row r="14">
      <c r="A14" s="3" t="s">
        <v>16</v>
      </c>
      <c r="B14" s="4">
        <v>14.96</v>
      </c>
      <c r="C14" s="6">
        <v>0.25</v>
      </c>
      <c r="D14" s="4">
        <v>15.85</v>
      </c>
      <c r="E14" s="6">
        <v>0.31</v>
      </c>
      <c r="F14" s="4">
        <v>16.93</v>
      </c>
      <c r="G14" s="6">
        <v>0.37</v>
      </c>
      <c r="H14" s="4">
        <v>16.96</v>
      </c>
      <c r="I14" s="6">
        <v>0.4</v>
      </c>
      <c r="J14" s="4">
        <v>17.81</v>
      </c>
      <c r="K14" s="6">
        <v>0.46</v>
      </c>
      <c r="L14" s="3"/>
      <c r="M14" s="7"/>
      <c r="N14" s="7"/>
      <c r="O14" s="7"/>
      <c r="P14" s="7"/>
      <c r="Q14" s="7"/>
    </row>
    <row r="15">
      <c r="A15" s="3" t="s">
        <v>17</v>
      </c>
      <c r="B15" s="4">
        <v>783.18</v>
      </c>
      <c r="C15" s="6">
        <v>13.24</v>
      </c>
      <c r="D15" s="4">
        <v>1696.75</v>
      </c>
      <c r="E15" s="6">
        <v>32.67</v>
      </c>
      <c r="F15" s="4">
        <v>1272.9</v>
      </c>
      <c r="G15" s="6">
        <v>27.94</v>
      </c>
      <c r="H15" s="4">
        <v>82.46</v>
      </c>
      <c r="I15" s="6">
        <v>1.95</v>
      </c>
      <c r="J15" s="4">
        <v>38.33</v>
      </c>
      <c r="K15" s="6">
        <v>1.0</v>
      </c>
      <c r="L15" s="3"/>
      <c r="M15" s="7"/>
      <c r="N15" s="7"/>
      <c r="O15" s="7"/>
      <c r="P15" s="7"/>
      <c r="Q15" s="7"/>
    </row>
    <row r="16">
      <c r="A16" s="3"/>
      <c r="B16" s="4"/>
      <c r="C16" s="8"/>
      <c r="D16" s="4"/>
      <c r="E16" s="8"/>
      <c r="F16" s="4"/>
      <c r="G16" s="8"/>
      <c r="H16" s="4"/>
      <c r="I16" s="8"/>
      <c r="J16" s="4"/>
      <c r="K16" s="8"/>
      <c r="L16" s="3"/>
    </row>
    <row r="17">
      <c r="A17" s="3" t="s">
        <v>18</v>
      </c>
      <c r="B17" s="4">
        <v>5917.31</v>
      </c>
      <c r="C17" s="5">
        <v>100.0</v>
      </c>
      <c r="D17" s="4">
        <v>5193.49</v>
      </c>
      <c r="E17" s="5">
        <v>100.0</v>
      </c>
      <c r="F17" s="4">
        <v>4555.51</v>
      </c>
      <c r="G17" s="5">
        <v>100.0</v>
      </c>
      <c r="H17" s="4">
        <v>4224.12</v>
      </c>
      <c r="I17" s="5">
        <v>100.0</v>
      </c>
      <c r="J17" s="4">
        <v>3840.45</v>
      </c>
      <c r="K17" s="5">
        <v>100.0</v>
      </c>
      <c r="L17" s="3"/>
    </row>
    <row r="18">
      <c r="A18" s="3"/>
      <c r="B18" s="4"/>
      <c r="C18" s="8"/>
      <c r="D18" s="4"/>
      <c r="E18" s="8"/>
      <c r="F18" s="4"/>
      <c r="G18" s="8"/>
      <c r="H18" s="4"/>
      <c r="I18" s="8"/>
      <c r="J18" s="4"/>
      <c r="K18" s="8"/>
      <c r="L18" s="3"/>
    </row>
    <row r="19">
      <c r="A19" s="3" t="s">
        <v>19</v>
      </c>
      <c r="B19" s="4">
        <v>1407.19</v>
      </c>
      <c r="C19" s="6">
        <v>23.78</v>
      </c>
      <c r="D19" s="4">
        <v>1342.72</v>
      </c>
      <c r="E19" s="6">
        <v>25.85</v>
      </c>
      <c r="F19" s="4">
        <v>1206.02</v>
      </c>
      <c r="G19" s="6">
        <v>26.47</v>
      </c>
      <c r="H19" s="4">
        <v>1203.19</v>
      </c>
      <c r="I19" s="6">
        <v>28.48</v>
      </c>
      <c r="J19" s="4">
        <v>1030.86</v>
      </c>
      <c r="K19" s="6">
        <v>26.84</v>
      </c>
      <c r="L19" s="3"/>
      <c r="M19" s="7"/>
      <c r="N19" s="7"/>
      <c r="O19" s="7"/>
      <c r="P19" s="7"/>
      <c r="Q19" s="7"/>
    </row>
    <row r="20">
      <c r="A20" s="3" t="s">
        <v>20</v>
      </c>
      <c r="B20" s="4">
        <v>1057.86</v>
      </c>
      <c r="C20" s="6">
        <v>17.88</v>
      </c>
      <c r="D20" s="4">
        <v>1002.69</v>
      </c>
      <c r="E20" s="6">
        <v>19.31</v>
      </c>
      <c r="F20" s="4">
        <v>891.99</v>
      </c>
      <c r="G20" s="6">
        <v>19.58</v>
      </c>
      <c r="H20" s="4">
        <v>889.45</v>
      </c>
      <c r="I20" s="6">
        <v>21.06</v>
      </c>
      <c r="J20" s="4">
        <v>762.67</v>
      </c>
      <c r="K20" s="6">
        <v>19.86</v>
      </c>
      <c r="L20" s="3"/>
      <c r="M20" s="7"/>
      <c r="N20" s="7"/>
      <c r="O20" s="7"/>
      <c r="P20" s="7"/>
      <c r="Q20" s="7"/>
    </row>
    <row r="21">
      <c r="A21" s="3" t="s">
        <v>21</v>
      </c>
      <c r="B21" s="4">
        <v>181.32</v>
      </c>
      <c r="C21" s="6">
        <v>3.06</v>
      </c>
      <c r="D21" s="4">
        <v>203.25</v>
      </c>
      <c r="E21" s="6">
        <v>3.91</v>
      </c>
      <c r="F21" s="4">
        <v>187.84</v>
      </c>
      <c r="G21" s="6">
        <v>4.12</v>
      </c>
      <c r="H21" s="4">
        <v>185.88</v>
      </c>
      <c r="I21" s="6">
        <v>4.4</v>
      </c>
      <c r="J21" s="4">
        <v>152.23</v>
      </c>
      <c r="K21" s="6">
        <v>3.96</v>
      </c>
      <c r="L21" s="3"/>
      <c r="M21" s="7"/>
      <c r="N21" s="7"/>
      <c r="O21" s="7"/>
      <c r="P21" s="7"/>
      <c r="Q21" s="7"/>
    </row>
    <row r="22">
      <c r="A22" s="3" t="s">
        <v>22</v>
      </c>
      <c r="B22" s="4">
        <v>168.01</v>
      </c>
      <c r="C22" s="6">
        <v>2.84</v>
      </c>
      <c r="D22" s="4">
        <v>136.78</v>
      </c>
      <c r="E22" s="6">
        <v>2.63</v>
      </c>
      <c r="F22" s="4">
        <v>126.19</v>
      </c>
      <c r="G22" s="6">
        <v>2.77</v>
      </c>
      <c r="H22" s="4">
        <v>127.86</v>
      </c>
      <c r="I22" s="6">
        <v>3.03</v>
      </c>
      <c r="J22" s="4">
        <v>115.96</v>
      </c>
      <c r="K22" s="6">
        <v>3.02</v>
      </c>
      <c r="L22" s="3"/>
      <c r="M22" s="7"/>
      <c r="N22" s="7"/>
      <c r="O22" s="7"/>
      <c r="P22" s="7"/>
      <c r="Q22" s="7"/>
    </row>
    <row r="23">
      <c r="A23" s="3"/>
      <c r="B23" s="4"/>
      <c r="C23" s="8"/>
      <c r="D23" s="4"/>
      <c r="E23" s="8"/>
      <c r="F23" s="4"/>
      <c r="G23" s="8"/>
      <c r="H23" s="4"/>
      <c r="I23" s="8"/>
      <c r="J23" s="4"/>
      <c r="K23" s="8"/>
      <c r="L23" s="3"/>
    </row>
    <row r="24">
      <c r="A24" s="3" t="s">
        <v>23</v>
      </c>
      <c r="B24" s="4">
        <v>276.97</v>
      </c>
      <c r="C24" s="6">
        <v>4.68</v>
      </c>
      <c r="D24" s="4">
        <v>151.88</v>
      </c>
      <c r="E24" s="6">
        <v>2.92</v>
      </c>
      <c r="F24" s="4">
        <v>160.95</v>
      </c>
      <c r="G24" s="6">
        <v>3.53</v>
      </c>
      <c r="H24" s="4">
        <v>201.14</v>
      </c>
      <c r="I24" s="6">
        <v>4.76</v>
      </c>
      <c r="J24" s="4">
        <v>207.43</v>
      </c>
      <c r="K24" s="6">
        <v>5.4</v>
      </c>
      <c r="L24" s="3"/>
      <c r="M24" s="7"/>
      <c r="N24" s="7"/>
      <c r="O24" s="7"/>
      <c r="P24" s="7"/>
      <c r="Q24" s="7"/>
    </row>
    <row r="25">
      <c r="A25" s="3" t="s">
        <v>24</v>
      </c>
      <c r="B25" s="4">
        <v>157.75</v>
      </c>
      <c r="C25" s="6">
        <v>2.67</v>
      </c>
      <c r="D25" s="4">
        <v>36.76</v>
      </c>
      <c r="E25" s="6">
        <v>0.71</v>
      </c>
      <c r="F25" s="4">
        <v>67.49</v>
      </c>
      <c r="G25" s="6">
        <v>1.48</v>
      </c>
      <c r="H25" s="4">
        <v>108.74</v>
      </c>
      <c r="I25" s="6">
        <v>2.57</v>
      </c>
      <c r="J25" s="4">
        <v>117.68</v>
      </c>
      <c r="K25" s="6">
        <v>3.06</v>
      </c>
      <c r="L25" s="3"/>
      <c r="M25" s="7"/>
      <c r="N25" s="7"/>
      <c r="O25" s="7"/>
      <c r="P25" s="7"/>
      <c r="Q25" s="7"/>
    </row>
    <row r="26">
      <c r="A26" s="3" t="s">
        <v>25</v>
      </c>
      <c r="B26" s="4">
        <v>119.22</v>
      </c>
      <c r="C26" s="6">
        <v>2.01</v>
      </c>
      <c r="D26" s="4">
        <v>115.12</v>
      </c>
      <c r="E26" s="6">
        <v>2.22</v>
      </c>
      <c r="F26" s="4">
        <v>93.46</v>
      </c>
      <c r="G26" s="6">
        <v>2.05</v>
      </c>
      <c r="H26" s="4">
        <v>92.4</v>
      </c>
      <c r="I26" s="6">
        <v>2.19</v>
      </c>
      <c r="J26" s="4">
        <v>89.75</v>
      </c>
      <c r="K26" s="6">
        <v>2.34</v>
      </c>
      <c r="L26" s="3"/>
      <c r="M26" s="7"/>
      <c r="N26" s="7"/>
      <c r="O26" s="7"/>
      <c r="P26" s="7"/>
      <c r="Q26" s="7"/>
    </row>
    <row r="27">
      <c r="A27" s="3"/>
      <c r="B27" s="4"/>
      <c r="C27" s="8"/>
      <c r="D27" s="4"/>
      <c r="E27" s="8"/>
      <c r="F27" s="4"/>
      <c r="G27" s="8"/>
      <c r="H27" s="4"/>
      <c r="I27" s="8"/>
      <c r="J27" s="4"/>
      <c r="K27" s="8"/>
      <c r="L27" s="3"/>
    </row>
    <row r="28">
      <c r="A28" s="3" t="s">
        <v>26</v>
      </c>
      <c r="B28" s="4">
        <v>1684.16</v>
      </c>
      <c r="C28" s="5">
        <v>28.45</v>
      </c>
      <c r="D28" s="4">
        <v>1494.6</v>
      </c>
      <c r="E28" s="5">
        <v>28.8</v>
      </c>
      <c r="F28" s="4">
        <v>1366.97</v>
      </c>
      <c r="G28" s="6">
        <v>30.02</v>
      </c>
      <c r="H28" s="4">
        <v>1404.33</v>
      </c>
      <c r="I28" s="6">
        <v>33.17</v>
      </c>
      <c r="J28" s="4">
        <v>1238.29</v>
      </c>
      <c r="K28" s="6">
        <v>32.24</v>
      </c>
      <c r="L28" s="3"/>
      <c r="O28" s="7"/>
      <c r="P28" s="7"/>
      <c r="Q28" s="7"/>
    </row>
    <row r="29">
      <c r="A29" s="3"/>
      <c r="B29" s="4"/>
      <c r="C29" s="8"/>
      <c r="D29" s="4"/>
      <c r="E29" s="8"/>
      <c r="F29" s="4"/>
      <c r="G29" s="8"/>
      <c r="H29" s="4"/>
      <c r="I29" s="8"/>
      <c r="J29" s="4"/>
      <c r="K29" s="8"/>
      <c r="L29" s="3"/>
    </row>
    <row r="30">
      <c r="A30" s="3" t="s">
        <v>27</v>
      </c>
      <c r="B30" s="4">
        <v>4233.15</v>
      </c>
      <c r="C30" s="6">
        <v>71.55</v>
      </c>
      <c r="D30" s="4">
        <v>3698.89</v>
      </c>
      <c r="E30" s="6">
        <v>71.2</v>
      </c>
      <c r="F30" s="4">
        <v>3188.54</v>
      </c>
      <c r="G30" s="6">
        <v>69.98</v>
      </c>
      <c r="H30" s="4">
        <v>2819.79</v>
      </c>
      <c r="I30" s="6">
        <v>66.83</v>
      </c>
      <c r="J30" s="4">
        <v>2602.16</v>
      </c>
      <c r="K30" s="6">
        <v>67.76</v>
      </c>
      <c r="L30" s="3"/>
      <c r="M30" s="7"/>
      <c r="N30" s="7"/>
      <c r="O30" s="7"/>
      <c r="P30" s="7"/>
      <c r="Q30" s="7"/>
    </row>
    <row r="31">
      <c r="A31" s="3" t="s">
        <v>28</v>
      </c>
      <c r="B31" s="4">
        <v>21.25</v>
      </c>
      <c r="C31" s="6">
        <v>0.36</v>
      </c>
      <c r="D31" s="4">
        <v>21.25</v>
      </c>
      <c r="E31" s="6">
        <v>0.41</v>
      </c>
      <c r="F31" s="4">
        <v>21.25</v>
      </c>
      <c r="G31" s="6">
        <v>0.47</v>
      </c>
      <c r="H31" s="4">
        <v>21.25</v>
      </c>
      <c r="I31" s="6">
        <v>0.5</v>
      </c>
      <c r="J31" s="4">
        <v>21.25</v>
      </c>
      <c r="K31" s="6">
        <v>0.55</v>
      </c>
      <c r="L31" s="3"/>
      <c r="M31" s="7"/>
      <c r="N31" s="7"/>
      <c r="O31" s="7"/>
      <c r="P31" s="7"/>
      <c r="Q31" s="7"/>
    </row>
    <row r="32">
      <c r="A32" s="3" t="s">
        <v>29</v>
      </c>
      <c r="B32" s="4">
        <v>4211.9</v>
      </c>
      <c r="C32" s="6">
        <v>71.18</v>
      </c>
      <c r="D32" s="4">
        <v>3677.64</v>
      </c>
      <c r="E32" s="6">
        <v>70.81</v>
      </c>
      <c r="F32" s="4">
        <v>3167.29</v>
      </c>
      <c r="G32" s="6">
        <v>69.53</v>
      </c>
      <c r="H32" s="4">
        <v>2798.54</v>
      </c>
      <c r="I32" s="6">
        <v>66.25</v>
      </c>
      <c r="J32" s="4">
        <v>2580.91</v>
      </c>
      <c r="K32" s="6">
        <v>67.2</v>
      </c>
      <c r="L32" s="3"/>
      <c r="M32" s="7"/>
      <c r="N32" s="7"/>
      <c r="O32" s="7"/>
      <c r="P32" s="7"/>
      <c r="Q32" s="7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>
      <c r="A34" s="10"/>
      <c r="B34" s="11"/>
      <c r="C34" s="12"/>
      <c r="D34" s="11"/>
      <c r="E34" s="12"/>
      <c r="F34" s="11"/>
      <c r="G34" s="12"/>
      <c r="H34" s="11"/>
      <c r="I34" s="12"/>
      <c r="J34" s="11"/>
      <c r="K34" s="12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>
      <c r="A36" s="14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>
      <c r="A37" s="14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>
      <c r="A39" s="8"/>
      <c r="B39" s="5"/>
      <c r="C39" s="5"/>
      <c r="D39" s="6"/>
      <c r="E39" s="6"/>
      <c r="F39" s="6"/>
      <c r="G39" s="6"/>
      <c r="H39" s="6"/>
      <c r="I39" s="6"/>
      <c r="J39" s="6"/>
      <c r="K39" s="6"/>
    </row>
    <row r="40">
      <c r="A40" s="8"/>
      <c r="B40" s="5"/>
      <c r="C40" s="5"/>
      <c r="D40" s="6"/>
      <c r="E40" s="6"/>
      <c r="F40" s="6"/>
      <c r="G40" s="6"/>
      <c r="H40" s="6"/>
      <c r="I40" s="6"/>
      <c r="J40" s="6"/>
      <c r="K40" s="6"/>
    </row>
    <row r="41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>
      <c r="A53" s="8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>
      <c r="A64" s="8"/>
      <c r="B64" s="5"/>
      <c r="C64" s="5"/>
      <c r="D64" s="5"/>
      <c r="E64" s="5"/>
      <c r="F64" s="6"/>
      <c r="G64" s="6"/>
      <c r="H64" s="6"/>
      <c r="I64" s="6"/>
      <c r="J64" s="6"/>
      <c r="K64" s="6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>
      <c r="A66" s="8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A67" s="8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</cols>
  <sheetData>
    <row r="1">
      <c r="A1" s="1" t="s">
        <v>30</v>
      </c>
      <c r="B1" s="1">
        <v>2025.0</v>
      </c>
      <c r="C1" s="1" t="s">
        <v>31</v>
      </c>
      <c r="D1" s="1">
        <v>2024.0</v>
      </c>
      <c r="E1" s="1" t="s">
        <v>2</v>
      </c>
      <c r="F1" s="1">
        <v>2023.0</v>
      </c>
      <c r="G1" s="1" t="s">
        <v>3</v>
      </c>
      <c r="H1" s="1">
        <v>2022.0</v>
      </c>
      <c r="I1" s="1" t="s">
        <v>4</v>
      </c>
      <c r="J1" s="1">
        <v>2021.0</v>
      </c>
      <c r="K1" s="1" t="s">
        <v>5</v>
      </c>
    </row>
    <row r="2">
      <c r="A2" s="3" t="s">
        <v>32</v>
      </c>
      <c r="B2" s="4">
        <v>6406.97</v>
      </c>
      <c r="C2" s="7">
        <v>100.0</v>
      </c>
      <c r="D2" s="4">
        <v>5847.19</v>
      </c>
      <c r="E2" s="7">
        <v>100.0</v>
      </c>
      <c r="F2" s="4">
        <v>5346.73</v>
      </c>
      <c r="G2" s="7">
        <v>100.0</v>
      </c>
      <c r="H2" s="4">
        <v>4910.3</v>
      </c>
      <c r="I2" s="7">
        <v>100.0</v>
      </c>
      <c r="J2" s="4">
        <v>4307.59</v>
      </c>
      <c r="K2" s="7">
        <v>100.0</v>
      </c>
    </row>
    <row r="3">
      <c r="A3" s="3" t="s">
        <v>33</v>
      </c>
      <c r="B3" s="4">
        <v>6406.97</v>
      </c>
      <c r="C3" s="7">
        <v>100.0</v>
      </c>
      <c r="D3" s="4">
        <v>5847.19</v>
      </c>
      <c r="E3" s="7">
        <v>100.0</v>
      </c>
      <c r="F3" s="4">
        <v>5346.73</v>
      </c>
      <c r="G3" s="7">
        <v>100.0</v>
      </c>
      <c r="H3" s="4">
        <v>4910.3</v>
      </c>
      <c r="I3" s="7">
        <v>100.0</v>
      </c>
      <c r="J3" s="4">
        <v>4307.59</v>
      </c>
      <c r="K3" s="7">
        <v>100.0</v>
      </c>
    </row>
    <row r="4">
      <c r="A4" s="3" t="s">
        <v>34</v>
      </c>
      <c r="B4" s="4">
        <v>6409.15</v>
      </c>
      <c r="C4" s="7">
        <v>100.03</v>
      </c>
      <c r="D4" s="4">
        <v>5848.91</v>
      </c>
      <c r="E4" s="7">
        <v>100.03</v>
      </c>
      <c r="F4" s="4">
        <v>5348.73</v>
      </c>
      <c r="G4" s="7">
        <v>100.04</v>
      </c>
      <c r="H4" s="4">
        <v>4919.27</v>
      </c>
      <c r="I4" s="7">
        <v>100.18</v>
      </c>
      <c r="J4" s="4">
        <v>4310.02</v>
      </c>
      <c r="K4" s="7">
        <v>100.06</v>
      </c>
    </row>
    <row r="5">
      <c r="A5" s="3" t="s">
        <v>35</v>
      </c>
      <c r="B5" s="4">
        <v>275.58</v>
      </c>
      <c r="C5" s="7">
        <v>4.3</v>
      </c>
      <c r="D5" s="4">
        <v>248.27</v>
      </c>
      <c r="E5" s="7">
        <v>4.25</v>
      </c>
      <c r="F5" s="4">
        <v>154.15</v>
      </c>
      <c r="G5" s="7">
        <v>2.88</v>
      </c>
      <c r="H5" s="4">
        <v>77.21</v>
      </c>
      <c r="I5" s="7">
        <v>1.57</v>
      </c>
      <c r="J5" s="4">
        <v>80.9</v>
      </c>
      <c r="K5" s="7">
        <v>1.88</v>
      </c>
    </row>
    <row r="6">
      <c r="A6" s="3" t="s">
        <v>36</v>
      </c>
      <c r="B6" s="4">
        <v>6684.73</v>
      </c>
      <c r="C6" s="7">
        <v>104.34</v>
      </c>
      <c r="D6" s="4">
        <v>6097.18</v>
      </c>
      <c r="E6" s="7">
        <v>104.28</v>
      </c>
      <c r="F6" s="4">
        <v>5502.88</v>
      </c>
      <c r="G6" s="7">
        <v>102.92</v>
      </c>
      <c r="H6" s="4">
        <v>4996.48</v>
      </c>
      <c r="I6" s="7">
        <v>101.76</v>
      </c>
      <c r="J6" s="4">
        <v>4390.92</v>
      </c>
      <c r="K6" s="7">
        <v>101.93</v>
      </c>
    </row>
    <row r="7">
      <c r="A7" s="3" t="s">
        <v>37</v>
      </c>
      <c r="B7" s="4">
        <v>621.12</v>
      </c>
      <c r="C7" s="7">
        <v>9.69</v>
      </c>
      <c r="D7" s="4">
        <v>565.67</v>
      </c>
      <c r="E7" s="7">
        <v>9.67</v>
      </c>
      <c r="F7" s="4">
        <v>558.61</v>
      </c>
      <c r="G7" s="7">
        <v>10.45</v>
      </c>
      <c r="H7" s="4">
        <v>495.46</v>
      </c>
      <c r="I7" s="7">
        <v>10.09</v>
      </c>
      <c r="J7" s="4">
        <v>454.32</v>
      </c>
      <c r="K7" s="7">
        <v>10.55</v>
      </c>
    </row>
    <row r="8">
      <c r="A8" s="3" t="s">
        <v>38</v>
      </c>
      <c r="B8" s="4">
        <v>3056.34</v>
      </c>
      <c r="C8" s="7">
        <v>47.7</v>
      </c>
      <c r="D8" s="4">
        <v>2647.21</v>
      </c>
      <c r="E8" s="7">
        <v>45.27</v>
      </c>
      <c r="F8" s="4">
        <v>2350.36</v>
      </c>
      <c r="G8" s="7">
        <v>43.96</v>
      </c>
      <c r="H8" s="4">
        <v>2184.03</v>
      </c>
      <c r="I8" s="7">
        <v>44.48</v>
      </c>
      <c r="J8" s="4">
        <v>2040.6</v>
      </c>
      <c r="K8" s="7">
        <v>47.37</v>
      </c>
    </row>
    <row r="9">
      <c r="A9" s="3" t="s">
        <v>39</v>
      </c>
      <c r="B9" s="4">
        <v>-180.68</v>
      </c>
      <c r="C9" s="7">
        <v>-2.82</v>
      </c>
      <c r="D9" s="4">
        <v>7.73</v>
      </c>
      <c r="E9" s="7">
        <v>0.13</v>
      </c>
      <c r="F9" s="4">
        <v>66.09</v>
      </c>
      <c r="G9" s="7">
        <v>1.24</v>
      </c>
      <c r="H9" s="4">
        <v>-22.28</v>
      </c>
      <c r="I9" s="7">
        <v>-0.45</v>
      </c>
      <c r="J9" s="4">
        <v>-104.0</v>
      </c>
      <c r="K9" s="7">
        <v>-2.41</v>
      </c>
    </row>
    <row r="10">
      <c r="A10" s="3" t="s">
        <v>40</v>
      </c>
      <c r="B10" s="4">
        <v>587.54</v>
      </c>
      <c r="C10" s="7">
        <v>9.17</v>
      </c>
      <c r="D10" s="4">
        <v>576.58</v>
      </c>
      <c r="E10" s="7">
        <v>9.86</v>
      </c>
      <c r="F10" s="4">
        <v>563.59</v>
      </c>
      <c r="G10" s="7">
        <v>10.54</v>
      </c>
      <c r="H10" s="4">
        <v>579.46</v>
      </c>
      <c r="I10" s="7">
        <v>11.8</v>
      </c>
      <c r="J10" s="4">
        <v>492.65</v>
      </c>
      <c r="K10" s="7">
        <v>11.44</v>
      </c>
    </row>
    <row r="11">
      <c r="A11" s="3" t="s">
        <v>41</v>
      </c>
      <c r="B11" s="4">
        <v>11.43</v>
      </c>
      <c r="C11" s="7">
        <v>0.18</v>
      </c>
      <c r="D11" s="4">
        <v>12.45</v>
      </c>
      <c r="E11" s="7">
        <v>0.21</v>
      </c>
      <c r="F11" s="4">
        <v>15.99</v>
      </c>
      <c r="G11" s="7">
        <v>0.3</v>
      </c>
      <c r="H11" s="4">
        <v>19.1</v>
      </c>
      <c r="I11" s="7">
        <v>0.39</v>
      </c>
      <c r="J11" s="4">
        <v>18.28</v>
      </c>
      <c r="K11" s="7">
        <v>0.42</v>
      </c>
    </row>
    <row r="12">
      <c r="A12" s="3" t="s">
        <v>42</v>
      </c>
      <c r="B12" s="4">
        <v>71.8</v>
      </c>
      <c r="C12" s="7">
        <v>1.12</v>
      </c>
      <c r="D12" s="4">
        <v>71.17</v>
      </c>
      <c r="E12" s="7">
        <v>1.22</v>
      </c>
      <c r="F12" s="4">
        <v>69.97</v>
      </c>
      <c r="G12" s="7">
        <v>1.31</v>
      </c>
      <c r="H12" s="4">
        <v>66.1</v>
      </c>
      <c r="I12" s="7">
        <v>1.35</v>
      </c>
      <c r="J12" s="4">
        <v>58.13</v>
      </c>
      <c r="K12" s="7">
        <v>1.35</v>
      </c>
    </row>
    <row r="13">
      <c r="A13" s="3" t="s">
        <v>43</v>
      </c>
      <c r="B13" s="4">
        <v>630.23</v>
      </c>
      <c r="C13" s="7">
        <v>9.84</v>
      </c>
      <c r="D13" s="4">
        <v>598.62</v>
      </c>
      <c r="E13" s="7">
        <v>10.24</v>
      </c>
      <c r="F13" s="4">
        <v>604.45</v>
      </c>
      <c r="G13" s="7">
        <v>11.31</v>
      </c>
      <c r="H13" s="4">
        <v>594.88</v>
      </c>
      <c r="I13" s="7">
        <v>12.11</v>
      </c>
      <c r="J13" s="4">
        <v>504.99</v>
      </c>
      <c r="K13" s="7">
        <v>11.72</v>
      </c>
    </row>
    <row r="14">
      <c r="A14" s="3" t="s">
        <v>44</v>
      </c>
      <c r="B14" s="4">
        <v>4797.78</v>
      </c>
      <c r="C14" s="7">
        <v>74.88</v>
      </c>
      <c r="D14" s="4">
        <v>4479.43</v>
      </c>
      <c r="E14" s="7">
        <v>76.61</v>
      </c>
      <c r="F14" s="4">
        <v>4229.06</v>
      </c>
      <c r="G14" s="7">
        <v>79.1</v>
      </c>
      <c r="H14" s="4">
        <v>3916.75</v>
      </c>
      <c r="I14" s="7">
        <v>79.77</v>
      </c>
      <c r="J14" s="4">
        <v>3464.97</v>
      </c>
      <c r="K14" s="7">
        <v>80.44</v>
      </c>
    </row>
    <row r="15">
      <c r="A15" s="3" t="s">
        <v>45</v>
      </c>
      <c r="B15" s="4">
        <v>1886.95</v>
      </c>
      <c r="C15" s="7">
        <v>29.45</v>
      </c>
      <c r="D15" s="4">
        <v>1617.75</v>
      </c>
      <c r="E15" s="7">
        <v>27.67</v>
      </c>
      <c r="F15" s="4">
        <v>1273.82</v>
      </c>
      <c r="G15" s="7">
        <v>23.82</v>
      </c>
      <c r="H15" s="4">
        <v>1079.73</v>
      </c>
      <c r="I15" s="7">
        <v>21.99</v>
      </c>
      <c r="J15" s="4">
        <v>925.95</v>
      </c>
      <c r="K15" s="7">
        <v>21.5</v>
      </c>
    </row>
    <row r="16">
      <c r="A16" s="3" t="s">
        <v>46</v>
      </c>
      <c r="B16" s="4">
        <v>1886.95</v>
      </c>
      <c r="C16" s="7">
        <v>29.45</v>
      </c>
      <c r="D16" s="4">
        <v>1617.75</v>
      </c>
      <c r="E16" s="7">
        <v>27.67</v>
      </c>
      <c r="F16" s="4">
        <v>1273.82</v>
      </c>
      <c r="G16" s="7">
        <v>23.82</v>
      </c>
      <c r="H16" s="4">
        <v>1079.73</v>
      </c>
      <c r="I16" s="7">
        <v>21.99</v>
      </c>
      <c r="J16" s="4">
        <v>925.95</v>
      </c>
      <c r="K16" s="7">
        <v>21.5</v>
      </c>
    </row>
    <row r="17">
      <c r="A17" s="3" t="s">
        <v>47</v>
      </c>
      <c r="B17" s="4">
        <v>477.99</v>
      </c>
      <c r="C17" s="7">
        <v>7.46</v>
      </c>
      <c r="D17" s="4">
        <v>415.43</v>
      </c>
      <c r="E17" s="7">
        <v>7.1</v>
      </c>
      <c r="F17" s="4">
        <v>329.41</v>
      </c>
      <c r="G17" s="7">
        <v>6.16</v>
      </c>
      <c r="H17" s="4">
        <v>276.98</v>
      </c>
      <c r="I17" s="7">
        <v>5.64</v>
      </c>
      <c r="J17" s="4">
        <v>242.76</v>
      </c>
      <c r="K17" s="7">
        <v>5.64</v>
      </c>
    </row>
    <row r="18">
      <c r="A18" s="3" t="s">
        <v>48</v>
      </c>
      <c r="B18" s="4">
        <v>2.72</v>
      </c>
      <c r="C18" s="7">
        <v>0.04</v>
      </c>
      <c r="D18" s="4">
        <v>1.07</v>
      </c>
      <c r="E18" s="7">
        <v>0.02</v>
      </c>
      <c r="F18" s="4">
        <v>-1.19</v>
      </c>
      <c r="G18" s="7">
        <v>-0.02</v>
      </c>
      <c r="H18" s="4">
        <v>-0.13</v>
      </c>
      <c r="I18" s="7">
        <v>0.0</v>
      </c>
      <c r="J18" s="4">
        <v>-3.79</v>
      </c>
      <c r="K18" s="7">
        <v>-0.09</v>
      </c>
    </row>
    <row r="19">
      <c r="A19" s="3" t="s">
        <v>49</v>
      </c>
      <c r="B19" s="4">
        <v>-8.2</v>
      </c>
      <c r="C19" s="7">
        <v>-0.13</v>
      </c>
      <c r="D19" s="4">
        <v>0.03</v>
      </c>
      <c r="E19" s="7">
        <v>0.0</v>
      </c>
      <c r="F19" s="4">
        <v>-3.81</v>
      </c>
      <c r="G19" s="7">
        <v>-0.07</v>
      </c>
      <c r="H19" s="4">
        <v>4.18</v>
      </c>
      <c r="I19" s="7">
        <v>0.09</v>
      </c>
      <c r="J19" s="4">
        <v>-3.71</v>
      </c>
      <c r="K19" s="7">
        <v>-0.09</v>
      </c>
    </row>
    <row r="20">
      <c r="A20" s="3" t="s">
        <v>50</v>
      </c>
      <c r="B20" s="4">
        <v>472.51</v>
      </c>
      <c r="C20" s="7">
        <v>7.37</v>
      </c>
      <c r="D20" s="4">
        <v>416.53</v>
      </c>
      <c r="E20" s="7">
        <v>7.12</v>
      </c>
      <c r="F20" s="4">
        <v>324.41</v>
      </c>
      <c r="G20" s="7">
        <v>6.07</v>
      </c>
      <c r="H20" s="4">
        <v>281.03</v>
      </c>
      <c r="I20" s="7">
        <v>5.72</v>
      </c>
      <c r="J20" s="4">
        <v>235.26</v>
      </c>
      <c r="K20" s="7">
        <v>5.46</v>
      </c>
    </row>
    <row r="21">
      <c r="A21" s="3" t="s">
        <v>51</v>
      </c>
      <c r="B21" s="4">
        <v>1414.44</v>
      </c>
      <c r="C21" s="7">
        <v>22.08</v>
      </c>
      <c r="D21" s="4">
        <v>1201.22</v>
      </c>
      <c r="E21" s="7">
        <v>20.54</v>
      </c>
      <c r="F21" s="4">
        <v>949.41</v>
      </c>
      <c r="G21" s="7">
        <v>17.76</v>
      </c>
      <c r="H21" s="4">
        <v>798.7</v>
      </c>
      <c r="I21" s="7">
        <v>16.27</v>
      </c>
      <c r="J21" s="4">
        <v>690.69</v>
      </c>
      <c r="K21" s="7">
        <v>16.03</v>
      </c>
    </row>
    <row r="22">
      <c r="A22" s="3" t="s">
        <v>52</v>
      </c>
      <c r="B22" s="4">
        <v>1414.44</v>
      </c>
      <c r="C22" s="7">
        <v>22.08</v>
      </c>
      <c r="D22" s="4">
        <v>1201.22</v>
      </c>
      <c r="E22" s="7">
        <v>20.54</v>
      </c>
      <c r="F22" s="4">
        <v>949.41</v>
      </c>
      <c r="G22" s="7">
        <v>17.76</v>
      </c>
      <c r="H22" s="4">
        <v>798.7</v>
      </c>
      <c r="I22" s="7">
        <v>16.27</v>
      </c>
      <c r="J22" s="4">
        <v>690.69</v>
      </c>
      <c r="K22" s="7">
        <v>16.03</v>
      </c>
    </row>
    <row r="23">
      <c r="A23" s="3" t="s">
        <v>53</v>
      </c>
      <c r="B23" s="4">
        <v>1414.44</v>
      </c>
      <c r="C23" s="7">
        <v>22.08</v>
      </c>
      <c r="D23" s="4">
        <v>1201.22</v>
      </c>
      <c r="E23" s="7">
        <v>20.54</v>
      </c>
      <c r="F23" s="4">
        <v>949.41</v>
      </c>
      <c r="G23" s="7">
        <v>17.76</v>
      </c>
      <c r="H23" s="4">
        <v>798.7</v>
      </c>
      <c r="I23" s="7">
        <v>16.27</v>
      </c>
      <c r="J23" s="4">
        <v>690.69</v>
      </c>
      <c r="K23" s="7">
        <v>16.03</v>
      </c>
    </row>
    <row r="24">
      <c r="A24" s="3" t="s">
        <v>54</v>
      </c>
      <c r="B24" s="4">
        <v>665.62</v>
      </c>
      <c r="C24" s="7">
        <v>10.39</v>
      </c>
      <c r="D24" s="4">
        <v>565.28</v>
      </c>
      <c r="E24" s="7">
        <v>9.67</v>
      </c>
      <c r="F24" s="4">
        <v>446.78</v>
      </c>
      <c r="G24" s="7">
        <v>8.36</v>
      </c>
      <c r="H24" s="4">
        <v>375.86</v>
      </c>
      <c r="I24" s="7">
        <v>7.65</v>
      </c>
      <c r="J24" s="4">
        <v>325.04</v>
      </c>
      <c r="K24" s="7">
        <v>7.55</v>
      </c>
    </row>
    <row r="25">
      <c r="A25" s="3" t="s">
        <v>55</v>
      </c>
      <c r="B25" s="4">
        <v>665.62</v>
      </c>
      <c r="C25" s="7">
        <v>10.39</v>
      </c>
      <c r="D25" s="4">
        <v>565.28</v>
      </c>
      <c r="E25" s="7">
        <v>9.67</v>
      </c>
      <c r="F25" s="4">
        <v>446.78</v>
      </c>
      <c r="G25" s="7">
        <v>8.36</v>
      </c>
      <c r="H25" s="4">
        <v>375.86</v>
      </c>
      <c r="I25" s="7">
        <v>7.65</v>
      </c>
      <c r="J25" s="4">
        <v>325.04</v>
      </c>
      <c r="K25" s="7">
        <v>7.55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28.5"/>
    <col customWidth="1" min="3" max="3" width="28.0"/>
    <col customWidth="1" min="4" max="4" width="29.25"/>
    <col customWidth="1" min="5" max="5" width="29.63"/>
    <col customWidth="1" min="6" max="6" width="29.13"/>
  </cols>
  <sheetData>
    <row r="1">
      <c r="A1" s="1" t="s">
        <v>56</v>
      </c>
      <c r="B1" s="1">
        <v>2025.0</v>
      </c>
      <c r="C1" s="1">
        <v>2024.0</v>
      </c>
      <c r="D1" s="1">
        <v>2023.0</v>
      </c>
      <c r="E1" s="1">
        <v>2022.0</v>
      </c>
      <c r="F1" s="1">
        <v>2021.0</v>
      </c>
    </row>
    <row r="2">
      <c r="A2" s="3" t="s">
        <v>57</v>
      </c>
      <c r="B2" s="15" t="s">
        <v>58</v>
      </c>
      <c r="C2" s="4" t="s">
        <v>59</v>
      </c>
      <c r="D2" s="4" t="s">
        <v>60</v>
      </c>
      <c r="E2" s="4" t="s">
        <v>61</v>
      </c>
      <c r="F2" s="4" t="s">
        <v>62</v>
      </c>
    </row>
    <row r="3">
      <c r="A3" s="3" t="s">
        <v>63</v>
      </c>
      <c r="B3" s="15" t="s">
        <v>64</v>
      </c>
      <c r="C3" s="4" t="s">
        <v>65</v>
      </c>
      <c r="D3" s="4" t="s">
        <v>66</v>
      </c>
      <c r="E3" s="4" t="s">
        <v>67</v>
      </c>
      <c r="F3" s="4" t="s">
        <v>68</v>
      </c>
    </row>
    <row r="4">
      <c r="A4" s="16" t="s">
        <v>69</v>
      </c>
      <c r="B4" s="17" t="s">
        <v>70</v>
      </c>
      <c r="C4" s="17" t="s">
        <v>71</v>
      </c>
      <c r="D4" s="17" t="s">
        <v>72</v>
      </c>
      <c r="E4" s="17" t="s">
        <v>73</v>
      </c>
      <c r="F4" s="17" t="s">
        <v>74</v>
      </c>
    </row>
    <row r="5">
      <c r="A5" s="3"/>
      <c r="B5" s="4"/>
      <c r="C5" s="4"/>
      <c r="D5" s="4"/>
      <c r="E5" s="4"/>
      <c r="F5" s="4"/>
    </row>
    <row r="6">
      <c r="A6" s="3" t="s">
        <v>75</v>
      </c>
      <c r="B6" s="4" t="s">
        <v>76</v>
      </c>
      <c r="C6" s="4" t="s">
        <v>77</v>
      </c>
      <c r="D6" s="4" t="s">
        <v>78</v>
      </c>
      <c r="E6" s="4" t="s">
        <v>79</v>
      </c>
      <c r="F6" s="4" t="s">
        <v>80</v>
      </c>
    </row>
    <row r="7">
      <c r="A7" s="3" t="s">
        <v>81</v>
      </c>
      <c r="B7" s="4" t="s">
        <v>82</v>
      </c>
      <c r="C7" s="4" t="s">
        <v>83</v>
      </c>
      <c r="D7" s="4" t="s">
        <v>84</v>
      </c>
      <c r="E7" s="4" t="s">
        <v>85</v>
      </c>
      <c r="F7" s="4" t="s">
        <v>86</v>
      </c>
    </row>
    <row r="8">
      <c r="A8" s="3" t="s">
        <v>87</v>
      </c>
      <c r="B8" s="4" t="s">
        <v>88</v>
      </c>
      <c r="C8" s="4" t="s">
        <v>89</v>
      </c>
      <c r="D8" s="4" t="s">
        <v>90</v>
      </c>
      <c r="E8" s="4" t="s">
        <v>91</v>
      </c>
      <c r="F8" s="4" t="s">
        <v>92</v>
      </c>
    </row>
    <row r="9">
      <c r="A9" s="3" t="s">
        <v>93</v>
      </c>
      <c r="B9" s="4" t="s">
        <v>94</v>
      </c>
      <c r="C9" s="4" t="s">
        <v>95</v>
      </c>
      <c r="D9" s="4" t="s">
        <v>96</v>
      </c>
      <c r="E9" s="4" t="s">
        <v>97</v>
      </c>
      <c r="F9" s="4" t="s">
        <v>98</v>
      </c>
    </row>
    <row r="10">
      <c r="A10" s="3" t="s">
        <v>99</v>
      </c>
      <c r="B10" s="4" t="s">
        <v>100</v>
      </c>
      <c r="C10" s="18" t="s">
        <v>101</v>
      </c>
      <c r="D10" s="18" t="s">
        <v>102</v>
      </c>
      <c r="E10" s="4" t="s">
        <v>103</v>
      </c>
      <c r="F10" s="4" t="s">
        <v>104</v>
      </c>
    </row>
    <row r="11">
      <c r="A11" s="3"/>
      <c r="B11" s="4"/>
      <c r="C11" s="4"/>
      <c r="D11" s="4"/>
      <c r="E11" s="4"/>
      <c r="F11" s="4"/>
    </row>
    <row r="12">
      <c r="A12" s="18" t="s">
        <v>105</v>
      </c>
      <c r="B12" s="4" t="s">
        <v>106</v>
      </c>
      <c r="C12" s="4" t="s">
        <v>107</v>
      </c>
      <c r="D12" s="4" t="s">
        <v>108</v>
      </c>
      <c r="E12" s="4" t="s">
        <v>109</v>
      </c>
      <c r="F12" s="4" t="s">
        <v>110</v>
      </c>
    </row>
    <row r="13">
      <c r="A13" s="3" t="s">
        <v>111</v>
      </c>
      <c r="B13" s="4" t="s">
        <v>112</v>
      </c>
      <c r="C13" s="4" t="s">
        <v>113</v>
      </c>
      <c r="D13" s="4" t="s">
        <v>114</v>
      </c>
      <c r="E13" s="4" t="s">
        <v>115</v>
      </c>
      <c r="F13" s="4" t="s">
        <v>116</v>
      </c>
    </row>
    <row r="14">
      <c r="A14" s="18" t="s">
        <v>117</v>
      </c>
      <c r="B14" s="19" t="s">
        <v>118</v>
      </c>
      <c r="C14" s="19" t="s">
        <v>119</v>
      </c>
      <c r="D14" s="19" t="s">
        <v>120</v>
      </c>
      <c r="E14" s="19" t="s">
        <v>121</v>
      </c>
      <c r="F14" s="19" t="s">
        <v>122</v>
      </c>
    </row>
    <row r="15">
      <c r="A15" s="18" t="s">
        <v>123</v>
      </c>
      <c r="B15" s="19" t="s">
        <v>124</v>
      </c>
      <c r="C15" s="19" t="s">
        <v>125</v>
      </c>
      <c r="D15" s="19" t="s">
        <v>126</v>
      </c>
      <c r="E15" s="19" t="s">
        <v>127</v>
      </c>
      <c r="F15" s="19" t="s">
        <v>128</v>
      </c>
    </row>
    <row r="16">
      <c r="A16" s="3"/>
      <c r="B16" s="4"/>
      <c r="C16" s="4"/>
      <c r="D16" s="4"/>
      <c r="E16" s="4"/>
      <c r="F16" s="4"/>
    </row>
    <row r="17">
      <c r="A17" s="3" t="s">
        <v>129</v>
      </c>
      <c r="B17" s="4" t="s">
        <v>130</v>
      </c>
      <c r="C17" s="4" t="s">
        <v>131</v>
      </c>
      <c r="D17" s="4" t="s">
        <v>132</v>
      </c>
      <c r="E17" s="4" t="s">
        <v>133</v>
      </c>
      <c r="F17" s="4" t="s">
        <v>134</v>
      </c>
    </row>
    <row r="18">
      <c r="A18" s="16" t="s">
        <v>135</v>
      </c>
      <c r="B18" s="4" t="s">
        <v>136</v>
      </c>
      <c r="C18" s="4" t="s">
        <v>137</v>
      </c>
      <c r="D18" s="4" t="s">
        <v>138</v>
      </c>
      <c r="E18" s="4" t="s">
        <v>139</v>
      </c>
      <c r="F18" s="4" t="s">
        <v>140</v>
      </c>
    </row>
    <row r="19">
      <c r="A19" s="20" t="s">
        <v>141</v>
      </c>
      <c r="B19" s="4" t="s">
        <v>142</v>
      </c>
      <c r="C19" s="4" t="s">
        <v>143</v>
      </c>
      <c r="D19" s="4" t="s">
        <v>144</v>
      </c>
      <c r="E19" s="4" t="s">
        <v>145</v>
      </c>
      <c r="F19" s="4" t="s">
        <v>146</v>
      </c>
    </row>
    <row r="20">
      <c r="A20" s="3" t="s">
        <v>147</v>
      </c>
      <c r="B20" s="4" t="s">
        <v>148</v>
      </c>
      <c r="C20" s="4" t="s">
        <v>149</v>
      </c>
      <c r="D20" s="4" t="s">
        <v>150</v>
      </c>
      <c r="E20" s="4" t="s">
        <v>151</v>
      </c>
      <c r="F20" s="4" t="s">
        <v>152</v>
      </c>
    </row>
    <row r="21">
      <c r="A21" s="3" t="s">
        <v>153</v>
      </c>
      <c r="B21" s="4" t="s">
        <v>154</v>
      </c>
      <c r="C21" s="4" t="s">
        <v>155</v>
      </c>
      <c r="D21" s="4" t="s">
        <v>156</v>
      </c>
      <c r="E21" s="4" t="s">
        <v>157</v>
      </c>
      <c r="F21" s="4" t="s">
        <v>158</v>
      </c>
    </row>
    <row r="22">
      <c r="A22" s="3"/>
      <c r="B22" s="4"/>
      <c r="C22" s="4"/>
      <c r="D22" s="4"/>
      <c r="E22" s="4"/>
      <c r="F22" s="4"/>
    </row>
    <row r="23">
      <c r="A23" s="19" t="s">
        <v>159</v>
      </c>
      <c r="B23" s="19">
        <v>48.9</v>
      </c>
      <c r="C23" s="19">
        <v>50.3</v>
      </c>
      <c r="D23" s="19">
        <v>50.5</v>
      </c>
      <c r="E23" s="19">
        <v>50.3</v>
      </c>
      <c r="F23" s="19">
        <v>49.0</v>
      </c>
    </row>
    <row r="24">
      <c r="A24" s="3" t="s">
        <v>160</v>
      </c>
      <c r="B24" s="4" t="s">
        <v>161</v>
      </c>
      <c r="C24" s="4" t="s">
        <v>162</v>
      </c>
      <c r="D24" s="4" t="s">
        <v>163</v>
      </c>
      <c r="E24" s="4" t="s">
        <v>164</v>
      </c>
      <c r="F24" s="4" t="s">
        <v>165</v>
      </c>
    </row>
    <row r="25">
      <c r="A25" s="3" t="s">
        <v>166</v>
      </c>
      <c r="B25" s="4">
        <v>15.43</v>
      </c>
      <c r="C25" s="4">
        <v>15.48</v>
      </c>
      <c r="D25" s="4">
        <v>14.72</v>
      </c>
      <c r="E25" s="4">
        <v>13.34</v>
      </c>
      <c r="F25" s="4">
        <v>12.24</v>
      </c>
    </row>
    <row r="26">
      <c r="A26" s="3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</row>
    <row r="27">
      <c r="A27" s="3" t="s">
        <v>173</v>
      </c>
      <c r="B27" s="4">
        <v>61.59</v>
      </c>
      <c r="C27" s="4">
        <v>57.49</v>
      </c>
      <c r="D27" s="4">
        <v>61.54</v>
      </c>
      <c r="E27" s="4">
        <v>59.32</v>
      </c>
      <c r="F27" s="4">
        <v>64.12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174</v>
      </c>
      <c r="B1" s="21" t="s">
        <v>175</v>
      </c>
      <c r="C1" s="19" t="s">
        <v>176</v>
      </c>
    </row>
    <row r="2">
      <c r="A2" s="22">
        <v>43841.0</v>
      </c>
      <c r="B2" s="23">
        <v>14976.08</v>
      </c>
      <c r="C2" s="24">
        <f t="shared" ref="C2:C10" si="1">10000/B2</f>
        <v>0.6677314758</v>
      </c>
    </row>
    <row r="3">
      <c r="A3" s="22">
        <v>43842.0</v>
      </c>
      <c r="B3" s="23">
        <v>15098.43</v>
      </c>
      <c r="C3" s="24">
        <f t="shared" si="1"/>
        <v>0.6623205194</v>
      </c>
    </row>
    <row r="4">
      <c r="A4" s="22">
        <v>44197.0</v>
      </c>
      <c r="B4" s="23">
        <v>15465.5</v>
      </c>
      <c r="C4" s="24">
        <f t="shared" si="1"/>
        <v>0.6466004979</v>
      </c>
    </row>
    <row r="5">
      <c r="A5" s="22">
        <v>44198.0</v>
      </c>
      <c r="B5" s="23">
        <v>14054.86</v>
      </c>
      <c r="C5" s="24">
        <f t="shared" si="1"/>
        <v>0.7114976599</v>
      </c>
    </row>
    <row r="6">
      <c r="A6" s="22">
        <v>44199.0</v>
      </c>
      <c r="B6" s="23">
        <v>14144.08</v>
      </c>
      <c r="C6" s="24">
        <f t="shared" si="1"/>
        <v>0.7070095757</v>
      </c>
    </row>
    <row r="7">
      <c r="A7" s="22">
        <v>44200.0</v>
      </c>
      <c r="B7" s="23">
        <v>14682.43</v>
      </c>
      <c r="C7" s="24">
        <f t="shared" si="1"/>
        <v>0.681086169</v>
      </c>
    </row>
    <row r="8">
      <c r="A8" s="22">
        <v>44201.0</v>
      </c>
      <c r="B8" s="23">
        <v>14829.26</v>
      </c>
      <c r="C8" s="24">
        <f t="shared" si="1"/>
        <v>0.6743424824</v>
      </c>
    </row>
    <row r="9">
      <c r="A9" s="22">
        <v>44202.0</v>
      </c>
      <c r="B9" s="23">
        <v>15717.89</v>
      </c>
      <c r="C9" s="24">
        <f t="shared" si="1"/>
        <v>0.6362177112</v>
      </c>
    </row>
    <row r="10">
      <c r="A10" s="22">
        <v>44203.0</v>
      </c>
      <c r="B10" s="23">
        <v>16469.14</v>
      </c>
      <c r="C10" s="24">
        <f t="shared" si="1"/>
        <v>0.607196247</v>
      </c>
    </row>
    <row r="11">
      <c r="A11" s="21" t="s">
        <v>177</v>
      </c>
      <c r="B11" s="23">
        <v>17140.84</v>
      </c>
      <c r="C11" s="24">
        <f>275/B11</f>
        <v>0.01604355446</v>
      </c>
      <c r="D11" s="19" t="s">
        <v>178</v>
      </c>
    </row>
    <row r="12">
      <c r="A12" s="22">
        <v>44204.0</v>
      </c>
      <c r="B12" s="23">
        <v>18764.09</v>
      </c>
      <c r="C12" s="24">
        <f t="shared" ref="C12:C24" si="2">10000/B12</f>
        <v>0.5329328521</v>
      </c>
    </row>
    <row r="13">
      <c r="A13" s="22">
        <v>44205.0</v>
      </c>
      <c r="B13" s="23">
        <v>19159.13</v>
      </c>
      <c r="C13" s="24">
        <f t="shared" si="2"/>
        <v>0.521944368</v>
      </c>
    </row>
    <row r="14">
      <c r="A14" s="22">
        <v>44206.0</v>
      </c>
      <c r="B14" s="23">
        <v>20244.97</v>
      </c>
      <c r="C14" s="24">
        <f t="shared" si="2"/>
        <v>0.4939498552</v>
      </c>
    </row>
    <row r="15">
      <c r="A15" s="22">
        <v>44207.0</v>
      </c>
      <c r="B15" s="23">
        <v>19776.37</v>
      </c>
      <c r="C15" s="24">
        <f t="shared" si="2"/>
        <v>0.5056539699</v>
      </c>
    </row>
    <row r="16">
      <c r="A16" s="22">
        <v>44208.0</v>
      </c>
      <c r="B16" s="23">
        <v>18863.05</v>
      </c>
      <c r="C16" s="24">
        <f t="shared" si="2"/>
        <v>0.5301369609</v>
      </c>
    </row>
    <row r="17">
      <c r="A17" s="22">
        <v>44562.0</v>
      </c>
      <c r="B17" s="23">
        <v>19307.26</v>
      </c>
      <c r="C17" s="24">
        <f t="shared" si="2"/>
        <v>0.5179398838</v>
      </c>
    </row>
    <row r="18">
      <c r="A18" s="22">
        <v>44563.0</v>
      </c>
      <c r="B18" s="23">
        <v>15998.86</v>
      </c>
      <c r="C18" s="24">
        <f t="shared" si="2"/>
        <v>0.6250445344</v>
      </c>
    </row>
    <row r="19">
      <c r="A19" s="22">
        <v>44564.0</v>
      </c>
      <c r="B19" s="23">
        <v>17282.72</v>
      </c>
      <c r="C19" s="24">
        <f t="shared" si="2"/>
        <v>0.5786126258</v>
      </c>
    </row>
    <row r="20">
      <c r="A20" s="22">
        <v>44565.0</v>
      </c>
      <c r="B20" s="23">
        <v>17519.74</v>
      </c>
      <c r="C20" s="24">
        <f t="shared" si="2"/>
        <v>0.5707847263</v>
      </c>
    </row>
    <row r="21">
      <c r="A21" s="22">
        <v>44566.0</v>
      </c>
      <c r="B21" s="23">
        <v>16867.68</v>
      </c>
      <c r="C21" s="24">
        <f t="shared" si="2"/>
        <v>0.5928497576</v>
      </c>
    </row>
    <row r="22">
      <c r="A22" s="22">
        <v>44567.0</v>
      </c>
      <c r="B22" s="23">
        <v>17578.99</v>
      </c>
      <c r="C22" s="24">
        <f t="shared" si="2"/>
        <v>0.5688608959</v>
      </c>
    </row>
    <row r="23">
      <c r="A23" s="22">
        <v>44568.0</v>
      </c>
      <c r="B23" s="23">
        <v>18468.21</v>
      </c>
      <c r="C23" s="24">
        <f t="shared" si="2"/>
        <v>0.5414709926</v>
      </c>
    </row>
    <row r="24">
      <c r="A24" s="22">
        <v>44569.0</v>
      </c>
      <c r="B24" s="23">
        <v>19802.04</v>
      </c>
      <c r="C24" s="24">
        <f t="shared" si="2"/>
        <v>0.5049984749</v>
      </c>
    </row>
    <row r="25">
      <c r="A25" s="22">
        <v>44600.0</v>
      </c>
      <c r="B25" s="23">
        <v>20314.76</v>
      </c>
      <c r="C25" s="24">
        <f>275/B25</f>
        <v>0.0135369554</v>
      </c>
      <c r="D25" s="19" t="s">
        <v>178</v>
      </c>
    </row>
    <row r="26">
      <c r="A26" s="22">
        <v>44570.0</v>
      </c>
      <c r="B26" s="23">
        <v>18634.62</v>
      </c>
      <c r="C26" s="24">
        <f t="shared" ref="C26:C36" si="3">10000/B26</f>
        <v>0.536635574</v>
      </c>
    </row>
    <row r="27">
      <c r="A27" s="22">
        <v>44571.0</v>
      </c>
      <c r="B27" s="23">
        <v>19021.88</v>
      </c>
      <c r="C27" s="24">
        <f t="shared" si="3"/>
        <v>0.5257103925</v>
      </c>
    </row>
    <row r="28">
      <c r="A28" s="22">
        <v>44572.0</v>
      </c>
      <c r="B28" s="23">
        <v>19201.63</v>
      </c>
      <c r="C28" s="24">
        <f t="shared" si="3"/>
        <v>0.5207891205</v>
      </c>
    </row>
    <row r="29">
      <c r="A29" s="22">
        <v>44573.0</v>
      </c>
      <c r="B29" s="23">
        <v>20111.72</v>
      </c>
      <c r="C29" s="24">
        <f t="shared" si="3"/>
        <v>0.497222515</v>
      </c>
    </row>
    <row r="30">
      <c r="A30" s="22">
        <v>44927.0</v>
      </c>
      <c r="B30" s="23">
        <v>21236.28</v>
      </c>
      <c r="C30" s="24">
        <f t="shared" si="3"/>
        <v>0.4708922655</v>
      </c>
    </row>
    <row r="31">
      <c r="A31" s="22">
        <v>44928.0</v>
      </c>
      <c r="B31" s="23">
        <v>20798.38</v>
      </c>
      <c r="C31" s="24">
        <f t="shared" si="3"/>
        <v>0.4808066782</v>
      </c>
    </row>
    <row r="32">
      <c r="A32" s="22">
        <v>44929.0</v>
      </c>
      <c r="B32" s="23">
        <v>20092.14</v>
      </c>
      <c r="C32" s="24">
        <f t="shared" si="3"/>
        <v>0.4977070636</v>
      </c>
    </row>
    <row r="33">
      <c r="A33" s="22">
        <v>44930.0</v>
      </c>
      <c r="B33" s="23">
        <v>22111.69</v>
      </c>
      <c r="C33" s="24">
        <f t="shared" si="3"/>
        <v>0.4522494662</v>
      </c>
    </row>
    <row r="34">
      <c r="A34" s="22">
        <v>44931.0</v>
      </c>
      <c r="B34" s="23">
        <v>22183.2</v>
      </c>
      <c r="C34" s="24">
        <f t="shared" si="3"/>
        <v>0.45079159</v>
      </c>
    </row>
    <row r="35">
      <c r="A35" s="22">
        <v>44932.0</v>
      </c>
      <c r="B35" s="23">
        <v>21723.78</v>
      </c>
      <c r="C35" s="24">
        <f t="shared" si="3"/>
        <v>0.4603250447</v>
      </c>
    </row>
    <row r="36">
      <c r="A36" s="22">
        <v>44933.0</v>
      </c>
      <c r="B36" s="23">
        <v>23356.02</v>
      </c>
      <c r="C36" s="24">
        <f t="shared" si="3"/>
        <v>0.4281551394</v>
      </c>
    </row>
    <row r="37">
      <c r="A37" s="21" t="s">
        <v>179</v>
      </c>
      <c r="B37" s="23">
        <v>23219.95</v>
      </c>
      <c r="C37" s="24">
        <f>325/B37</f>
        <v>0.01399658483</v>
      </c>
      <c r="D37" s="19" t="s">
        <v>178</v>
      </c>
    </row>
    <row r="38">
      <c r="A38" s="22">
        <v>44934.0</v>
      </c>
      <c r="B38" s="23">
        <v>24094.45</v>
      </c>
      <c r="C38" s="24">
        <f t="shared" ref="C38:C49" si="4">10000/B38</f>
        <v>0.4150333376</v>
      </c>
    </row>
    <row r="39">
      <c r="A39" s="22">
        <v>44935.0</v>
      </c>
      <c r="B39" s="23">
        <v>23120.0</v>
      </c>
      <c r="C39" s="24">
        <f t="shared" si="4"/>
        <v>0.4325259516</v>
      </c>
    </row>
    <row r="40">
      <c r="A40" s="22">
        <v>44936.0</v>
      </c>
      <c r="B40" s="23">
        <v>23244.95</v>
      </c>
      <c r="C40" s="24">
        <f t="shared" si="4"/>
        <v>0.4302009684</v>
      </c>
    </row>
    <row r="41">
      <c r="A41" s="22">
        <v>44937.0</v>
      </c>
      <c r="B41" s="23">
        <v>22420.95</v>
      </c>
      <c r="C41" s="24">
        <f t="shared" si="4"/>
        <v>0.4460114313</v>
      </c>
    </row>
    <row r="42">
      <c r="A42" s="22">
        <v>44938.0</v>
      </c>
      <c r="B42" s="23">
        <v>23751.1</v>
      </c>
      <c r="C42" s="24">
        <f t="shared" si="4"/>
        <v>0.4210331311</v>
      </c>
    </row>
    <row r="43">
      <c r="A43" s="22">
        <v>45292.0</v>
      </c>
      <c r="B43" s="23">
        <v>22852.0</v>
      </c>
      <c r="C43" s="24">
        <f t="shared" si="4"/>
        <v>0.4375984597</v>
      </c>
    </row>
    <row r="44">
      <c r="A44" s="22">
        <v>45293.0</v>
      </c>
      <c r="B44" s="23">
        <v>26175.0</v>
      </c>
      <c r="C44" s="24">
        <f t="shared" si="4"/>
        <v>0.3820439351</v>
      </c>
    </row>
    <row r="45">
      <c r="A45" s="22">
        <v>45294.0</v>
      </c>
      <c r="B45" s="23">
        <v>28569.0</v>
      </c>
      <c r="C45" s="24">
        <f t="shared" si="4"/>
        <v>0.3500297525</v>
      </c>
    </row>
    <row r="46">
      <c r="A46" s="22">
        <v>45295.0</v>
      </c>
      <c r="B46" s="23">
        <v>27275.0</v>
      </c>
      <c r="C46" s="24">
        <f t="shared" si="4"/>
        <v>0.3666361137</v>
      </c>
    </row>
    <row r="47">
      <c r="A47" s="22">
        <v>45296.0</v>
      </c>
      <c r="B47" s="23">
        <v>26499.95</v>
      </c>
      <c r="C47" s="24">
        <f t="shared" si="4"/>
        <v>0.3773592026</v>
      </c>
    </row>
    <row r="48">
      <c r="A48" s="22">
        <v>45297.0</v>
      </c>
      <c r="B48" s="23">
        <v>26000.0</v>
      </c>
      <c r="C48" s="24">
        <f t="shared" si="4"/>
        <v>0.3846153846</v>
      </c>
    </row>
    <row r="49">
      <c r="A49" s="22">
        <v>45298.0</v>
      </c>
      <c r="B49" s="23">
        <v>27782.1</v>
      </c>
      <c r="C49" s="24">
        <f t="shared" si="4"/>
        <v>0.3599439927</v>
      </c>
    </row>
    <row r="50">
      <c r="A50" s="21" t="s">
        <v>180</v>
      </c>
      <c r="B50" s="23">
        <v>28356.6</v>
      </c>
      <c r="C50" s="24">
        <f>410/B50</f>
        <v>0.01445871508</v>
      </c>
      <c r="D50" s="19" t="s">
        <v>178</v>
      </c>
    </row>
    <row r="51">
      <c r="A51" s="22">
        <v>45299.0</v>
      </c>
      <c r="B51" s="23">
        <v>28400.0</v>
      </c>
      <c r="C51" s="24">
        <f t="shared" ref="C51:C62" si="5">10000/B51</f>
        <v>0.3521126761</v>
      </c>
    </row>
    <row r="52">
      <c r="A52" s="22">
        <v>45300.0</v>
      </c>
      <c r="B52" s="23">
        <v>30300.0</v>
      </c>
      <c r="C52" s="24">
        <f t="shared" si="5"/>
        <v>0.3300330033</v>
      </c>
    </row>
    <row r="53">
      <c r="A53" s="22">
        <v>45301.0</v>
      </c>
      <c r="B53" s="23">
        <v>29050.0</v>
      </c>
      <c r="C53" s="24">
        <f t="shared" si="5"/>
        <v>0.3442340792</v>
      </c>
    </row>
    <row r="54">
      <c r="A54" s="22">
        <v>45302.0</v>
      </c>
      <c r="B54" s="23">
        <v>29119.95</v>
      </c>
      <c r="C54" s="24">
        <f t="shared" si="5"/>
        <v>0.343407183</v>
      </c>
    </row>
    <row r="55">
      <c r="A55" s="22">
        <v>45303.0</v>
      </c>
      <c r="B55" s="23">
        <v>27800.0</v>
      </c>
      <c r="C55" s="24">
        <f t="shared" si="5"/>
        <v>0.3597122302</v>
      </c>
    </row>
    <row r="56">
      <c r="A56" s="22">
        <v>45658.0</v>
      </c>
      <c r="B56" s="23">
        <v>29830.2</v>
      </c>
      <c r="C56" s="24">
        <f t="shared" si="5"/>
        <v>0.3352307393</v>
      </c>
    </row>
    <row r="57">
      <c r="A57" s="22">
        <v>45659.0</v>
      </c>
      <c r="B57" s="23">
        <v>26249.95</v>
      </c>
      <c r="C57" s="24">
        <f t="shared" si="5"/>
        <v>0.3809531066</v>
      </c>
    </row>
    <row r="58">
      <c r="A58" s="22">
        <v>45660.0</v>
      </c>
      <c r="B58" s="23">
        <v>30610.2</v>
      </c>
      <c r="C58" s="24">
        <f t="shared" si="5"/>
        <v>0.3266884895</v>
      </c>
    </row>
    <row r="59">
      <c r="A59" s="22">
        <v>45661.0</v>
      </c>
      <c r="B59" s="23">
        <v>30720.55</v>
      </c>
      <c r="C59" s="24">
        <f t="shared" si="5"/>
        <v>0.3255150054</v>
      </c>
    </row>
    <row r="60">
      <c r="A60" s="22">
        <v>45662.0</v>
      </c>
      <c r="B60" s="23">
        <v>29990.0</v>
      </c>
      <c r="C60" s="24">
        <f t="shared" si="5"/>
        <v>0.3334444815</v>
      </c>
    </row>
    <row r="61">
      <c r="A61" s="22">
        <v>45663.0</v>
      </c>
      <c r="B61" s="23">
        <v>30455.0</v>
      </c>
      <c r="C61" s="24">
        <f t="shared" si="5"/>
        <v>0.3283533082</v>
      </c>
    </row>
    <row r="62">
      <c r="A62" s="22">
        <v>45664.0</v>
      </c>
      <c r="B62" s="23">
        <v>35675.0</v>
      </c>
      <c r="C62" s="24">
        <f t="shared" si="5"/>
        <v>0.2803083392</v>
      </c>
    </row>
    <row r="63">
      <c r="A63" s="21" t="s">
        <v>181</v>
      </c>
      <c r="B63" s="23">
        <v>34175.0</v>
      </c>
      <c r="C63" s="24">
        <f>475/B63</f>
        <v>0.01389904901</v>
      </c>
      <c r="D63" s="19" t="s">
        <v>178</v>
      </c>
    </row>
    <row r="64">
      <c r="A64" s="22">
        <v>45665.0</v>
      </c>
      <c r="B64" s="23">
        <v>34550.0</v>
      </c>
      <c r="C64" s="24">
        <f t="shared" ref="C64:C66" si="6">10000/B64</f>
        <v>0.2894356006</v>
      </c>
    </row>
    <row r="65">
      <c r="A65" s="22">
        <v>45666.0</v>
      </c>
      <c r="B65" s="23">
        <v>31650.0</v>
      </c>
      <c r="C65" s="24">
        <f t="shared" si="6"/>
        <v>0.3159557662</v>
      </c>
    </row>
    <row r="66">
      <c r="A66" s="22">
        <v>45667.0</v>
      </c>
      <c r="B66" s="23">
        <v>29500.0</v>
      </c>
      <c r="C66" s="24">
        <f t="shared" si="6"/>
        <v>0.3389830508</v>
      </c>
    </row>
    <row r="67">
      <c r="A67" s="19" t="s">
        <v>182</v>
      </c>
      <c r="C67" s="24">
        <f>SUM(C2:C66)</f>
        <v>28.25980066</v>
      </c>
    </row>
    <row r="68">
      <c r="A68" s="19" t="s">
        <v>183</v>
      </c>
    </row>
    <row r="69">
      <c r="A69" s="25">
        <v>45668.0</v>
      </c>
      <c r="B69" s="19">
        <v>29000.0</v>
      </c>
      <c r="C69" s="24">
        <f>B69*C67</f>
        <v>819534.2192</v>
      </c>
    </row>
  </sheetData>
  <drawing r:id="rId1"/>
</worksheet>
</file>